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álculos" sheetId="2" state="visible" r:id="rId2"/>
    <sheet xmlns:r="http://schemas.openxmlformats.org/officeDocument/2006/relationships" name="Gráf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.0"/>
  </numFmts>
  <fonts count="9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  <sz val="14"/>
    </font>
    <font>
      <b val="1"/>
    </font>
    <font>
      <b val="1"/>
      <color rgb="00CC0000"/>
    </font>
    <font>
      <b val="1"/>
      <color rgb="0027AE60"/>
    </font>
    <font>
      <b val="1"/>
      <color rgb="001F4E79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4" fontId="0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Apertura comercial (Trade % GDP) — 2000-2022</a:t>
            </a:r>
          </a:p>
        </rich>
      </tx>
    </title>
    <plotArea>
      <lineChart>
        <grouping val="standard"/>
        <ser>
          <idx val="0"/>
          <order val="0"/>
          <tx>
            <strRef>
              <f>'Gráfico'!B1</f>
            </strRef>
          </tx>
          <spPr>
            <a:ln xmlns:a="http://schemas.openxmlformats.org/drawingml/2006/main" w="25000">
              <a:solidFill>
                <a:srgbClr val="0EA5E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'Gráfico'!$A$2:$A$24</f>
            </numRef>
          </cat>
          <val>
            <numRef>
              <f>'Gráfico'!$B$2:$B$24</f>
            </numRef>
          </val>
        </ser>
        <ser>
          <idx val="1"/>
          <order val="1"/>
          <tx>
            <strRef>
              <f>'Gráfico'!C1</f>
            </strRef>
          </tx>
          <spPr>
            <a:ln xmlns:a="http://schemas.openxmlformats.org/drawingml/2006/main" w="25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'Gráfico'!$A$2:$A$24</f>
            </numRef>
          </cat>
          <val>
            <numRef>
              <f>'Gráfico'!$C$2:$C$24</f>
            </numRef>
          </val>
        </ser>
        <ser>
          <idx val="2"/>
          <order val="2"/>
          <tx>
            <strRef>
              <f>'Gráfico'!D1</f>
            </strRef>
          </tx>
          <spPr>
            <a:ln xmlns:a="http://schemas.openxmlformats.org/drawingml/2006/main" w="25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'Gráfico'!$A$2:$A$24</f>
            </numRef>
          </cat>
          <val>
            <numRef>
              <f>'Gráfico'!$D$2:$D$24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del PIB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Cambio en apertura promedio: 2000-07 vs 2015-22 (pp)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'Gráfico'!H28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'Gráfico'!$G$29:$G$31</f>
            </numRef>
          </cat>
          <val>
            <numRef>
              <f>'Gráfico'!$H$29:$H$31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Puntos porcentuales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Año</t>
        </is>
      </c>
      <c r="B1" s="1" t="inlineStr">
        <is>
          <t>Argentina (% PIB)</t>
        </is>
      </c>
      <c r="C1" s="1" t="inlineStr">
        <is>
          <t>China (% PIB)</t>
        </is>
      </c>
      <c r="D1" s="1" t="inlineStr">
        <is>
          <t>Alemania (% PIB)</t>
        </is>
      </c>
    </row>
    <row r="2">
      <c r="A2" s="2" t="n">
        <v>2000</v>
      </c>
      <c r="B2" s="3" t="n">
        <v>22.62</v>
      </c>
      <c r="C2" s="3" t="n">
        <v>39.01</v>
      </c>
      <c r="D2" s="3" t="n">
        <v>59.2</v>
      </c>
    </row>
    <row r="3">
      <c r="A3" s="2" t="n">
        <v>2001</v>
      </c>
      <c r="B3" s="3" t="n">
        <v>21.85</v>
      </c>
      <c r="C3" s="3" t="n">
        <v>38.08</v>
      </c>
      <c r="D3" s="3" t="n">
        <v>59.56</v>
      </c>
    </row>
    <row r="4">
      <c r="A4" s="2" t="n">
        <v>2002</v>
      </c>
      <c r="B4" s="3" t="n">
        <v>41.75</v>
      </c>
      <c r="C4" s="3" t="n">
        <v>42.19</v>
      </c>
      <c r="D4" s="3" t="n">
        <v>58.33</v>
      </c>
    </row>
    <row r="5">
      <c r="A5" s="2" t="n">
        <v>2003</v>
      </c>
      <c r="B5" s="3" t="n">
        <v>40.64</v>
      </c>
      <c r="C5" s="3" t="n">
        <v>51.08</v>
      </c>
      <c r="D5" s="3" t="n">
        <v>58.91</v>
      </c>
    </row>
    <row r="6">
      <c r="A6" s="2" t="n">
        <v>2004</v>
      </c>
      <c r="B6" s="3" t="n">
        <v>40.69</v>
      </c>
      <c r="C6" s="3" t="n">
        <v>58.64</v>
      </c>
      <c r="D6" s="3" t="n">
        <v>62.91</v>
      </c>
    </row>
    <row r="7">
      <c r="A7" s="2" t="n">
        <v>2005</v>
      </c>
      <c r="B7" s="3" t="n">
        <v>40.55</v>
      </c>
      <c r="C7" s="3" t="n">
        <v>61.36</v>
      </c>
      <c r="D7" s="3" t="n">
        <v>66.95</v>
      </c>
    </row>
    <row r="8">
      <c r="A8" s="2" t="n">
        <v>2006</v>
      </c>
      <c r="B8" s="3" t="n">
        <v>40.43</v>
      </c>
      <c r="C8" s="3" t="n">
        <v>63.57</v>
      </c>
      <c r="D8" s="3" t="n">
        <v>72.76000000000001</v>
      </c>
    </row>
    <row r="9">
      <c r="A9" s="2" t="n">
        <v>2007</v>
      </c>
      <c r="B9" s="3" t="n">
        <v>40.95</v>
      </c>
      <c r="C9" s="3" t="n">
        <v>61.27</v>
      </c>
      <c r="D9" s="3" t="n">
        <v>74.88</v>
      </c>
    </row>
    <row r="10">
      <c r="A10" s="2" t="n">
        <v>2008</v>
      </c>
      <c r="B10" s="3" t="n">
        <v>40.4</v>
      </c>
      <c r="C10" s="3" t="n">
        <v>56.71</v>
      </c>
      <c r="D10" s="3" t="n">
        <v>76.11</v>
      </c>
    </row>
    <row r="11">
      <c r="A11" s="2" t="n">
        <v>2009</v>
      </c>
      <c r="B11" s="3" t="n">
        <v>34.06</v>
      </c>
      <c r="C11" s="3" t="n">
        <v>44.42</v>
      </c>
      <c r="D11" s="3" t="n">
        <v>66.14</v>
      </c>
    </row>
    <row r="12">
      <c r="A12" s="2" t="n">
        <v>2010</v>
      </c>
      <c r="B12" s="3" t="n">
        <v>34.97</v>
      </c>
      <c r="C12" s="3" t="n">
        <v>49.85</v>
      </c>
      <c r="D12" s="3" t="n">
        <v>73.89</v>
      </c>
    </row>
    <row r="13">
      <c r="A13" s="2" t="n">
        <v>2011</v>
      </c>
      <c r="B13" s="3" t="n">
        <v>35.21</v>
      </c>
      <c r="C13" s="3" t="n">
        <v>49.95</v>
      </c>
      <c r="D13" s="3" t="n">
        <v>78.43000000000001</v>
      </c>
    </row>
    <row r="14">
      <c r="A14" s="2" t="n">
        <v>2012</v>
      </c>
      <c r="B14" s="3" t="n">
        <v>30.53</v>
      </c>
      <c r="C14" s="3" t="n">
        <v>47.48</v>
      </c>
      <c r="D14" s="3" t="n">
        <v>79.33</v>
      </c>
    </row>
    <row r="15">
      <c r="A15" s="2" t="n">
        <v>2013</v>
      </c>
      <c r="B15" s="3" t="n">
        <v>29.33</v>
      </c>
      <c r="C15" s="3" t="n">
        <v>45.92</v>
      </c>
      <c r="D15" s="3" t="n">
        <v>77.59</v>
      </c>
    </row>
    <row r="16">
      <c r="A16" s="2" t="n">
        <v>2014</v>
      </c>
      <c r="B16" s="3" t="n">
        <v>28.41</v>
      </c>
      <c r="C16" s="3" t="n">
        <v>44.07</v>
      </c>
      <c r="D16" s="3" t="n">
        <v>76.84999999999999</v>
      </c>
    </row>
    <row r="17">
      <c r="A17" s="2" t="n">
        <v>2015</v>
      </c>
      <c r="B17" s="3" t="n">
        <v>22.49</v>
      </c>
      <c r="C17" s="3" t="n">
        <v>38.7</v>
      </c>
      <c r="D17" s="3" t="n">
        <v>77.76000000000001</v>
      </c>
    </row>
    <row r="18">
      <c r="A18" s="2" t="n">
        <v>2016</v>
      </c>
      <c r="B18" s="3" t="n">
        <v>26.09</v>
      </c>
      <c r="C18" s="3" t="n">
        <v>36.18</v>
      </c>
      <c r="D18" s="3" t="n">
        <v>76.01000000000001</v>
      </c>
    </row>
    <row r="19">
      <c r="A19" s="2" t="n">
        <v>2017</v>
      </c>
      <c r="B19" s="3" t="n">
        <v>25.29</v>
      </c>
      <c r="C19" s="3" t="n">
        <v>36.95</v>
      </c>
      <c r="D19" s="3" t="n">
        <v>77.45</v>
      </c>
    </row>
    <row r="20">
      <c r="A20" s="2" t="n">
        <v>2018</v>
      </c>
      <c r="B20" s="3" t="n">
        <v>30.76</v>
      </c>
      <c r="C20" s="3" t="n">
        <v>36.89</v>
      </c>
      <c r="D20" s="3" t="n">
        <v>79.13</v>
      </c>
    </row>
    <row r="21">
      <c r="A21" s="2" t="n">
        <v>2019</v>
      </c>
      <c r="B21" s="3" t="n">
        <v>32.63</v>
      </c>
      <c r="C21" s="3" t="n">
        <v>35.2</v>
      </c>
      <c r="D21" s="3" t="n">
        <v>79.06999999999999</v>
      </c>
    </row>
    <row r="22">
      <c r="A22" s="2" t="n">
        <v>2020</v>
      </c>
      <c r="B22" s="3" t="n">
        <v>30.2</v>
      </c>
      <c r="C22" s="3" t="n">
        <v>34.04</v>
      </c>
      <c r="D22" s="3" t="n">
        <v>72.93000000000001</v>
      </c>
    </row>
    <row r="23">
      <c r="A23" s="2" t="n">
        <v>2021</v>
      </c>
      <c r="B23" s="3" t="n">
        <v>33.08</v>
      </c>
      <c r="C23" s="3" t="n">
        <v>36.52</v>
      </c>
      <c r="D23" s="3" t="n">
        <v>79.92</v>
      </c>
    </row>
    <row r="24">
      <c r="A24" s="2" t="n">
        <v>2022</v>
      </c>
      <c r="B24" s="3" t="n">
        <v>31.58</v>
      </c>
      <c r="C24" s="3" t="n">
        <v>37.44</v>
      </c>
      <c r="D24" s="3" t="n">
        <v>88.79000000000001</v>
      </c>
    </row>
    <row r="26">
      <c r="A26" s="4" t="inlineStr">
        <is>
          <t>Fuente: Banco Mundial — Trade (% of GDP) [NE.TRD.GNFS.ZS]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</cols>
  <sheetData>
    <row r="1">
      <c r="A1" s="5" t="inlineStr">
        <is>
          <t>Promedios por sub-período</t>
        </is>
      </c>
    </row>
    <row r="3">
      <c r="A3" s="1" t="inlineStr">
        <is>
          <t>País</t>
        </is>
      </c>
      <c r="B3" s="1" t="inlineStr">
        <is>
          <t>Promedio 2000-2007</t>
        </is>
      </c>
      <c r="C3" s="1" t="inlineStr">
        <is>
          <t>Promedio 2015-2022</t>
        </is>
      </c>
      <c r="D3" s="1" t="inlineStr">
        <is>
          <t>Diferencia (pp)</t>
        </is>
      </c>
    </row>
    <row r="4">
      <c r="A4" s="6" t="inlineStr">
        <is>
          <t>Argentina</t>
        </is>
      </c>
      <c r="B4" s="7" t="n">
        <v>36.2</v>
      </c>
      <c r="C4" s="7" t="n">
        <v>29</v>
      </c>
      <c r="D4" s="8" t="n">
        <v>-7.2</v>
      </c>
    </row>
    <row r="5">
      <c r="A5" s="6" t="inlineStr">
        <is>
          <t>China</t>
        </is>
      </c>
      <c r="B5" s="7" t="n">
        <v>51.9</v>
      </c>
      <c r="C5" s="7" t="n">
        <v>36.5</v>
      </c>
      <c r="D5" s="8" t="n">
        <v>-15.4</v>
      </c>
    </row>
    <row r="6">
      <c r="A6" s="6" t="inlineStr">
        <is>
          <t>Alemania</t>
        </is>
      </c>
      <c r="B6" s="7" t="n">
        <v>64.2</v>
      </c>
      <c r="C6" s="7" t="n">
        <v>78.90000000000001</v>
      </c>
      <c r="D6" s="9" t="n">
        <v>14.7</v>
      </c>
    </row>
    <row r="8">
      <c r="A8" s="10" t="inlineStr">
        <is>
          <t>RESPUESTA CORRECTA: b)</t>
        </is>
      </c>
    </row>
    <row r="9">
      <c r="A9" s="11" t="inlineStr">
        <is>
          <t>China tuvo la mayor caída (~15 pp). No se 'cerró': su PIB creció más rápido que su comercio.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Argentina</t>
        </is>
      </c>
      <c r="C1" t="inlineStr">
        <is>
          <t>China</t>
        </is>
      </c>
      <c r="D1" t="inlineStr">
        <is>
          <t>Alemania</t>
        </is>
      </c>
    </row>
    <row r="2">
      <c r="A2" t="n">
        <v>2000</v>
      </c>
      <c r="B2" t="n">
        <v>22.62</v>
      </c>
      <c r="C2" t="n">
        <v>39.01</v>
      </c>
      <c r="D2" t="n">
        <v>59.2</v>
      </c>
    </row>
    <row r="3">
      <c r="A3" t="n">
        <v>2001</v>
      </c>
      <c r="B3" t="n">
        <v>21.85</v>
      </c>
      <c r="C3" t="n">
        <v>38.08</v>
      </c>
      <c r="D3" t="n">
        <v>59.56</v>
      </c>
    </row>
    <row r="4">
      <c r="A4" t="n">
        <v>2002</v>
      </c>
      <c r="B4" t="n">
        <v>41.75</v>
      </c>
      <c r="C4" t="n">
        <v>42.19</v>
      </c>
      <c r="D4" t="n">
        <v>58.33</v>
      </c>
    </row>
    <row r="5">
      <c r="A5" t="n">
        <v>2003</v>
      </c>
      <c r="B5" t="n">
        <v>40.64</v>
      </c>
      <c r="C5" t="n">
        <v>51.08</v>
      </c>
      <c r="D5" t="n">
        <v>58.91</v>
      </c>
    </row>
    <row r="6">
      <c r="A6" t="n">
        <v>2004</v>
      </c>
      <c r="B6" t="n">
        <v>40.69</v>
      </c>
      <c r="C6" t="n">
        <v>58.64</v>
      </c>
      <c r="D6" t="n">
        <v>62.91</v>
      </c>
    </row>
    <row r="7">
      <c r="A7" t="n">
        <v>2005</v>
      </c>
      <c r="B7" t="n">
        <v>40.55</v>
      </c>
      <c r="C7" t="n">
        <v>61.36</v>
      </c>
      <c r="D7" t="n">
        <v>66.95</v>
      </c>
    </row>
    <row r="8">
      <c r="A8" t="n">
        <v>2006</v>
      </c>
      <c r="B8" t="n">
        <v>40.43</v>
      </c>
      <c r="C8" t="n">
        <v>63.57</v>
      </c>
      <c r="D8" t="n">
        <v>72.76000000000001</v>
      </c>
    </row>
    <row r="9">
      <c r="A9" t="n">
        <v>2007</v>
      </c>
      <c r="B9" t="n">
        <v>40.95</v>
      </c>
      <c r="C9" t="n">
        <v>61.27</v>
      </c>
      <c r="D9" t="n">
        <v>74.88</v>
      </c>
    </row>
    <row r="10">
      <c r="A10" t="n">
        <v>2008</v>
      </c>
      <c r="B10" t="n">
        <v>40.4</v>
      </c>
      <c r="C10" t="n">
        <v>56.71</v>
      </c>
      <c r="D10" t="n">
        <v>76.11</v>
      </c>
    </row>
    <row r="11">
      <c r="A11" t="n">
        <v>2009</v>
      </c>
      <c r="B11" t="n">
        <v>34.06</v>
      </c>
      <c r="C11" t="n">
        <v>44.42</v>
      </c>
      <c r="D11" t="n">
        <v>66.14</v>
      </c>
    </row>
    <row r="12">
      <c r="A12" t="n">
        <v>2010</v>
      </c>
      <c r="B12" t="n">
        <v>34.97</v>
      </c>
      <c r="C12" t="n">
        <v>49.85</v>
      </c>
      <c r="D12" t="n">
        <v>73.89</v>
      </c>
    </row>
    <row r="13">
      <c r="A13" t="n">
        <v>2011</v>
      </c>
      <c r="B13" t="n">
        <v>35.21</v>
      </c>
      <c r="C13" t="n">
        <v>49.95</v>
      </c>
      <c r="D13" t="n">
        <v>78.43000000000001</v>
      </c>
    </row>
    <row r="14">
      <c r="A14" t="n">
        <v>2012</v>
      </c>
      <c r="B14" t="n">
        <v>30.53</v>
      </c>
      <c r="C14" t="n">
        <v>47.48</v>
      </c>
      <c r="D14" t="n">
        <v>79.33</v>
      </c>
    </row>
    <row r="15">
      <c r="A15" t="n">
        <v>2013</v>
      </c>
      <c r="B15" t="n">
        <v>29.33</v>
      </c>
      <c r="C15" t="n">
        <v>45.92</v>
      </c>
      <c r="D15" t="n">
        <v>77.59</v>
      </c>
    </row>
    <row r="16">
      <c r="A16" t="n">
        <v>2014</v>
      </c>
      <c r="B16" t="n">
        <v>28.41</v>
      </c>
      <c r="C16" t="n">
        <v>44.07</v>
      </c>
      <c r="D16" t="n">
        <v>76.84999999999999</v>
      </c>
    </row>
    <row r="17">
      <c r="A17" t="n">
        <v>2015</v>
      </c>
      <c r="B17" t="n">
        <v>22.49</v>
      </c>
      <c r="C17" t="n">
        <v>38.7</v>
      </c>
      <c r="D17" t="n">
        <v>77.76000000000001</v>
      </c>
    </row>
    <row r="18">
      <c r="A18" t="n">
        <v>2016</v>
      </c>
      <c r="B18" t="n">
        <v>26.09</v>
      </c>
      <c r="C18" t="n">
        <v>36.18</v>
      </c>
      <c r="D18" t="n">
        <v>76.01000000000001</v>
      </c>
    </row>
    <row r="19">
      <c r="A19" t="n">
        <v>2017</v>
      </c>
      <c r="B19" t="n">
        <v>25.29</v>
      </c>
      <c r="C19" t="n">
        <v>36.95</v>
      </c>
      <c r="D19" t="n">
        <v>77.45</v>
      </c>
    </row>
    <row r="20">
      <c r="A20" t="n">
        <v>2018</v>
      </c>
      <c r="B20" t="n">
        <v>30.76</v>
      </c>
      <c r="C20" t="n">
        <v>36.89</v>
      </c>
      <c r="D20" t="n">
        <v>79.13</v>
      </c>
    </row>
    <row r="21">
      <c r="A21" t="n">
        <v>2019</v>
      </c>
      <c r="B21" t="n">
        <v>32.63</v>
      </c>
      <c r="C21" t="n">
        <v>35.2</v>
      </c>
      <c r="D21" t="n">
        <v>79.06999999999999</v>
      </c>
    </row>
    <row r="22">
      <c r="A22" t="n">
        <v>2020</v>
      </c>
      <c r="B22" t="n">
        <v>30.2</v>
      </c>
      <c r="C22" t="n">
        <v>34.04</v>
      </c>
      <c r="D22" t="n">
        <v>72.93000000000001</v>
      </c>
    </row>
    <row r="23">
      <c r="A23" t="n">
        <v>2021</v>
      </c>
      <c r="B23" t="n">
        <v>33.08</v>
      </c>
      <c r="C23" t="n">
        <v>36.52</v>
      </c>
      <c r="D23" t="n">
        <v>79.92</v>
      </c>
    </row>
    <row r="24">
      <c r="A24" t="n">
        <v>2022</v>
      </c>
      <c r="B24" t="n">
        <v>31.58</v>
      </c>
      <c r="C24" t="n">
        <v>37.44</v>
      </c>
      <c r="D24" t="n">
        <v>88.79000000000001</v>
      </c>
    </row>
    <row r="28">
      <c r="G28" t="inlineStr">
        <is>
          <t>País</t>
        </is>
      </c>
      <c r="H28" t="inlineStr">
        <is>
          <t>Cambio (pp)</t>
        </is>
      </c>
    </row>
    <row r="29">
      <c r="G29" t="inlineStr">
        <is>
          <t>Argentina</t>
        </is>
      </c>
      <c r="H29" t="n">
        <v>-7.2</v>
      </c>
    </row>
    <row r="30">
      <c r="G30" t="inlineStr">
        <is>
          <t>China</t>
        </is>
      </c>
      <c r="H30" t="n">
        <v>-15.4</v>
      </c>
    </row>
    <row r="31">
      <c r="G31" t="inlineStr">
        <is>
          <t>Alemania</t>
        </is>
      </c>
      <c r="H31" t="n">
        <v>14.7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2026-02-10T17:30:39Z</dcterms:created>
  <dcterms:modified xmlns:dcterms="http://purl.org/dc/terms/" xmlns:xsi="http://www.w3.org/2001/XMLSchema-instance" xsi:type="dcterms:W3CDTF">2026-02-10T17:30:39Z</dcterms:modified>
</cp:coreProperties>
</file>